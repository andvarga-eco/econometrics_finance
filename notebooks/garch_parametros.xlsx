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uninorte-my.sharepoint.com/personal/andresmv_uninorte_edu_co/Documents/Drive/Uninorte/Uninorte-docencia/Econometría_MsC_finanzas/notebooks/"/>
    </mc:Choice>
  </mc:AlternateContent>
  <xr:revisionPtr revIDLastSave="554" documentId="8_{ADEA37D7-69C1-4C60-9A92-E557C4809984}" xr6:coauthVersionLast="47" xr6:coauthVersionMax="47" xr10:uidLastSave="{12D221EB-A411-4A70-AFA6-20111AE5E170}"/>
  <bookViews>
    <workbookView xWindow="28680" yWindow="-120" windowWidth="29040" windowHeight="15720" xr2:uid="{FCAA0FA6-CC5F-4205-965B-4A82647F507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3" i="1" l="1"/>
  <c r="J25" i="1" s="1"/>
  <c r="I23" i="1"/>
  <c r="I25" i="1" s="1"/>
  <c r="H23" i="1"/>
  <c r="H25" i="1"/>
  <c r="I24" i="1"/>
  <c r="I26" i="1" s="1"/>
  <c r="I27" i="1" s="1"/>
  <c r="I28" i="1" s="1"/>
  <c r="J24" i="1"/>
  <c r="J26" i="1" s="1"/>
  <c r="J27" i="1" s="1"/>
  <c r="J28" i="1" s="1"/>
  <c r="H24" i="1"/>
  <c r="H26" i="1" s="1"/>
  <c r="H27" i="1" s="1"/>
  <c r="H28" i="1" s="1"/>
  <c r="E24" i="1"/>
  <c r="F24" i="1"/>
  <c r="G24" i="1"/>
  <c r="I34" i="1"/>
  <c r="I35" i="1"/>
  <c r="I36" i="1"/>
  <c r="I37" i="1"/>
  <c r="I38" i="1"/>
  <c r="I39" i="1"/>
  <c r="H34" i="1"/>
  <c r="H35" i="1"/>
  <c r="H36" i="1"/>
  <c r="H37" i="1"/>
  <c r="H38" i="1"/>
  <c r="H39" i="1"/>
  <c r="E7" i="1"/>
  <c r="G34" i="1"/>
  <c r="G35" i="1"/>
  <c r="G36" i="1"/>
  <c r="G37" i="1"/>
  <c r="G38" i="1"/>
  <c r="G39" i="1"/>
  <c r="G23" i="1"/>
  <c r="G25" i="1"/>
  <c r="G26" i="1"/>
  <c r="G27" i="1"/>
  <c r="G28" i="1"/>
  <c r="G45" i="1"/>
  <c r="G46" i="1"/>
  <c r="G47" i="1"/>
  <c r="G48" i="1"/>
  <c r="G49" i="1"/>
  <c r="G50" i="1"/>
  <c r="F45" i="1"/>
  <c r="F46" i="1"/>
  <c r="F47" i="1"/>
  <c r="F48" i="1"/>
  <c r="F49" i="1"/>
  <c r="F50" i="1"/>
  <c r="E45" i="1"/>
  <c r="E46" i="1"/>
  <c r="E47" i="1"/>
  <c r="E48" i="1"/>
  <c r="E49" i="1"/>
  <c r="E50" i="1"/>
  <c r="F23" i="1"/>
  <c r="F25" i="1"/>
  <c r="F26" i="1"/>
  <c r="F27" i="1"/>
  <c r="F28" i="1"/>
  <c r="F34" i="1"/>
  <c r="F35" i="1"/>
  <c r="F36" i="1"/>
  <c r="F37" i="1"/>
  <c r="F38" i="1"/>
  <c r="F39" i="1"/>
  <c r="R7" i="1"/>
  <c r="R8" i="1"/>
  <c r="R9" i="1"/>
  <c r="R10" i="1"/>
  <c r="R11" i="1"/>
  <c r="R12" i="1"/>
  <c r="E34" i="1"/>
  <c r="E35" i="1"/>
  <c r="E36" i="1"/>
  <c r="E37" i="1"/>
  <c r="E38" i="1"/>
  <c r="E39" i="1"/>
  <c r="Q7" i="1"/>
  <c r="P7" i="1"/>
  <c r="P8" i="1"/>
  <c r="P9" i="1"/>
  <c r="P10" i="1"/>
  <c r="P11" i="1"/>
  <c r="P12" i="1"/>
  <c r="D45" i="1"/>
  <c r="D46" i="1"/>
  <c r="D47" i="1"/>
  <c r="D48" i="1"/>
  <c r="D49" i="1"/>
  <c r="D50" i="1"/>
  <c r="C45" i="1"/>
  <c r="C46" i="1"/>
  <c r="C47" i="1"/>
  <c r="C48" i="1"/>
  <c r="C49" i="1"/>
  <c r="C50" i="1"/>
  <c r="D34" i="1"/>
  <c r="D35" i="1"/>
  <c r="D36" i="1"/>
  <c r="D37" i="1"/>
  <c r="D38" i="1"/>
  <c r="D39" i="1"/>
  <c r="C34" i="1"/>
  <c r="C35" i="1"/>
  <c r="C36" i="1"/>
  <c r="C37" i="1"/>
  <c r="C38" i="1"/>
  <c r="C39" i="1"/>
  <c r="E23" i="1"/>
  <c r="E25" i="1"/>
  <c r="E26" i="1"/>
  <c r="E27" i="1"/>
  <c r="E28" i="1"/>
  <c r="D23" i="1"/>
  <c r="D24" i="1"/>
  <c r="D25" i="1"/>
  <c r="D26" i="1"/>
  <c r="D27" i="1"/>
  <c r="D28" i="1"/>
  <c r="C23" i="1"/>
  <c r="C24" i="1"/>
  <c r="C25" i="1"/>
  <c r="C26" i="1"/>
  <c r="C27" i="1"/>
  <c r="C28" i="1"/>
  <c r="AD7" i="1"/>
  <c r="AD8" i="1"/>
  <c r="AD9" i="1"/>
  <c r="AD10" i="1"/>
  <c r="AD11" i="1"/>
  <c r="AD12" i="1"/>
  <c r="F7" i="1"/>
  <c r="D7" i="1"/>
  <c r="AC7" i="1"/>
  <c r="AC8" i="1"/>
  <c r="AC9" i="1"/>
  <c r="AC10" i="1"/>
  <c r="AC11" i="1" s="1"/>
  <c r="AC12" i="1" s="1"/>
  <c r="AA7" i="1"/>
  <c r="AA8" i="1"/>
  <c r="AA9" i="1"/>
  <c r="AA10" i="1"/>
  <c r="AA11" i="1" s="1"/>
  <c r="AA12" i="1" s="1"/>
  <c r="AB7" i="1"/>
  <c r="AB8" i="1"/>
  <c r="AB9" i="1"/>
  <c r="AB10" i="1"/>
  <c r="C7" i="1"/>
  <c r="AB11" i="1" l="1"/>
  <c r="AB12" i="1" s="1"/>
  <c r="Q8" i="1"/>
  <c r="Q10" i="1" s="1"/>
  <c r="Q11" i="1" s="1"/>
  <c r="Q12" i="1" s="1"/>
  <c r="Q9" i="1"/>
  <c r="D9" i="1"/>
  <c r="D8" i="1"/>
  <c r="D10" i="1" s="1"/>
  <c r="D11" i="1" s="1"/>
  <c r="D12" i="1" s="1"/>
  <c r="E9" i="1"/>
  <c r="E8" i="1"/>
  <c r="E10" i="1" s="1"/>
  <c r="E11" i="1" s="1"/>
  <c r="E12" i="1" s="1"/>
  <c r="F9" i="1"/>
  <c r="F8" i="1"/>
  <c r="F10" i="1" s="1"/>
  <c r="F11" i="1" s="1"/>
  <c r="F12" i="1" s="1"/>
  <c r="C9" i="1"/>
  <c r="C8" i="1"/>
  <c r="C10" i="1" s="1"/>
  <c r="C11" i="1" s="1"/>
  <c r="C12" i="1" s="1"/>
</calcChain>
</file>

<file path=xl/sharedStrings.xml><?xml version="1.0" encoding="utf-8"?>
<sst xmlns="http://schemas.openxmlformats.org/spreadsheetml/2006/main" count="195" uniqueCount="81">
  <si>
    <t>Acción</t>
  </si>
  <si>
    <t>Moneda</t>
  </si>
  <si>
    <t>Commodity</t>
  </si>
  <si>
    <t>Comm</t>
  </si>
  <si>
    <t>Francisco</t>
  </si>
  <si>
    <t>Camilo</t>
  </si>
  <si>
    <t>Isabella</t>
  </si>
  <si>
    <t>Luis</t>
  </si>
  <si>
    <t>Christian</t>
  </si>
  <si>
    <t>Juan</t>
  </si>
  <si>
    <t>Andrés</t>
  </si>
  <si>
    <t>Parámetros</t>
  </si>
  <si>
    <t>Brent</t>
  </si>
  <si>
    <t>VISA</t>
  </si>
  <si>
    <t>USDCAD</t>
  </si>
  <si>
    <t>COBRE</t>
  </si>
  <si>
    <t>TSLA</t>
  </si>
  <si>
    <t>EURUSD</t>
  </si>
  <si>
    <t>GC</t>
  </si>
  <si>
    <t>Amazon</t>
  </si>
  <si>
    <t>USD/BRL=X</t>
  </si>
  <si>
    <t>Cafe</t>
  </si>
  <si>
    <t>USD/JPY</t>
  </si>
  <si>
    <t>APPL</t>
  </si>
  <si>
    <t>GAs natural</t>
  </si>
  <si>
    <t>Ecopetrol</t>
  </si>
  <si>
    <t>USD/CHF</t>
  </si>
  <si>
    <t>Cacao</t>
  </si>
  <si>
    <t>Ko (Coca-cola)</t>
  </si>
  <si>
    <t>GBP/USD</t>
  </si>
  <si>
    <t xml:space="preserve">ALUMINIO </t>
  </si>
  <si>
    <t>Samsung</t>
  </si>
  <si>
    <t>USDMXN</t>
  </si>
  <si>
    <t>KC=F</t>
  </si>
  <si>
    <t>USDCOP</t>
  </si>
  <si>
    <t>Omega</t>
  </si>
  <si>
    <t>0.063928</t>
  </si>
  <si>
    <t>0.003845</t>
  </si>
  <si>
    <t>0.918059</t>
  </si>
  <si>
    <t>0.0717</t>
  </si>
  <si>
    <t>0.0476</t>
  </si>
  <si>
    <t>0.0238</t>
  </si>
  <si>
    <t>Alpha</t>
  </si>
  <si>
    <t>0.02536</t>
  </si>
  <si>
    <t>0.027967</t>
  </si>
  <si>
    <t>0.043392</t>
  </si>
  <si>
    <t>0.0389</t>
  </si>
  <si>
    <t>0.0905</t>
  </si>
  <si>
    <t>0.0370</t>
  </si>
  <si>
    <t>Beta</t>
  </si>
  <si>
    <t>0.962504</t>
  </si>
  <si>
    <t>0.967113</t>
  </si>
  <si>
    <t>0.791026</t>
  </si>
  <si>
    <t>0.9494</t>
  </si>
  <si>
    <t>0.7183</t>
  </si>
  <si>
    <t>0.9616</t>
  </si>
  <si>
    <t>Alpha+Beta</t>
  </si>
  <si>
    <t>0.987864</t>
  </si>
  <si>
    <t>0.99508</t>
  </si>
  <si>
    <t>0.834418</t>
  </si>
  <si>
    <t>0.9884</t>
  </si>
  <si>
    <t>0.8088</t>
  </si>
  <si>
    <t>0.9986</t>
  </si>
  <si>
    <t>Sigma</t>
  </si>
  <si>
    <t>0.781504065</t>
  </si>
  <si>
    <t>0.4989</t>
  </si>
  <si>
    <t>Half life</t>
  </si>
  <si>
    <t>2295132564 - 56 dias</t>
  </si>
  <si>
    <t>140.5</t>
  </si>
  <si>
    <t>Vol. Anual</t>
  </si>
  <si>
    <t>36.4%</t>
  </si>
  <si>
    <t>14.0%</t>
  </si>
  <si>
    <t>37.4%</t>
  </si>
  <si>
    <t>Leverage</t>
  </si>
  <si>
    <t>Si (Neg. Sign Bias p=0.0010)</t>
  </si>
  <si>
    <t>No (Sign Bias p=0.90, no signif.)</t>
  </si>
  <si>
    <t>0.3808</t>
  </si>
  <si>
    <t>0.2293</t>
  </si>
  <si>
    <t>Posición</t>
  </si>
  <si>
    <t>Persistencia muy alta: shocks de volatilidad duran ~2 meses; util para cobertura de mediano plazo</t>
  </si>
  <si>
    <t>Persistencia moderada: shocks se disipan en ~4 dias; poco valor en coberturas largas de volatilidad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</si>
</sst>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0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16BF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1" fillId="0" borderId="0" xfId="0" applyFont="1" applyBorder="1"/>
    <xf numFmtId="166" fontId="0" fillId="0" borderId="5" xfId="0" applyNumberFormat="1" applyBorder="1"/>
    <xf numFmtId="166" fontId="2" fillId="0" borderId="5" xfId="0" applyNumberFormat="1" applyFon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1" fillId="0" borderId="5" xfId="0" applyFont="1" applyBorder="1"/>
    <xf numFmtId="0" fontId="1" fillId="2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1" fillId="2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166" fontId="2" fillId="0" borderId="7" xfId="0" applyNumberFormat="1" applyFon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1" fillId="0" borderId="1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6" xfId="0" applyFont="1" applyBorder="1"/>
    <xf numFmtId="0" fontId="1" fillId="0" borderId="7" xfId="0" applyFont="1" applyBorder="1"/>
    <xf numFmtId="0" fontId="1" fillId="0" borderId="14" xfId="0" applyFont="1" applyBorder="1"/>
    <xf numFmtId="0" fontId="0" fillId="0" borderId="17" xfId="0" applyBorder="1"/>
    <xf numFmtId="0" fontId="0" fillId="0" borderId="18" xfId="0" applyBorder="1"/>
    <xf numFmtId="0" fontId="0" fillId="0" borderId="0" xfId="0" applyAlignment="1"/>
    <xf numFmtId="0" fontId="0" fillId="0" borderId="2" xfId="0" applyBorder="1"/>
    <xf numFmtId="0" fontId="1" fillId="0" borderId="22" xfId="0" applyFont="1" applyBorder="1"/>
    <xf numFmtId="0" fontId="0" fillId="0" borderId="22" xfId="0" applyBorder="1"/>
    <xf numFmtId="0" fontId="0" fillId="0" borderId="24" xfId="0" applyBorder="1"/>
    <xf numFmtId="0" fontId="3" fillId="0" borderId="0" xfId="0" applyFont="1" applyAlignment="1">
      <alignment wrapText="1"/>
    </xf>
    <xf numFmtId="0" fontId="4" fillId="0" borderId="13" xfId="0" applyFont="1" applyBorder="1"/>
    <xf numFmtId="0" fontId="0" fillId="5" borderId="14" xfId="0" applyFill="1" applyBorder="1"/>
    <xf numFmtId="0" fontId="0" fillId="0" borderId="20" xfId="0" applyBorder="1"/>
    <xf numFmtId="0" fontId="0" fillId="0" borderId="28" xfId="0" applyBorder="1"/>
    <xf numFmtId="0" fontId="1" fillId="0" borderId="1" xfId="0" applyFont="1" applyBorder="1" applyAlignment="1">
      <alignment horizontal="center"/>
    </xf>
    <xf numFmtId="0" fontId="5" fillId="0" borderId="1" xfId="0" applyFont="1" applyBorder="1"/>
    <xf numFmtId="2" fontId="0" fillId="0" borderId="1" xfId="0" applyNumberFormat="1" applyBorder="1"/>
    <xf numFmtId="0" fontId="0" fillId="3" borderId="29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0" borderId="30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6" fontId="0" fillId="0" borderId="1" xfId="0" applyNumberFormat="1" applyBorder="1"/>
    <xf numFmtId="0" fontId="0" fillId="5" borderId="27" xfId="0" applyFill="1" applyBorder="1"/>
    <xf numFmtId="0" fontId="0" fillId="0" borderId="31" xfId="0" applyBorder="1"/>
    <xf numFmtId="0" fontId="0" fillId="4" borderId="2" xfId="0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0" xfId="0" applyBorder="1" applyAlignment="1"/>
    <xf numFmtId="0" fontId="1" fillId="0" borderId="0" xfId="0" applyFont="1" applyBorder="1" applyAlignment="1"/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23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3" fontId="0" fillId="0" borderId="25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2" fontId="0" fillId="0" borderId="5" xfId="0" applyNumberFormat="1" applyBorder="1"/>
    <xf numFmtId="166" fontId="0" fillId="0" borderId="6" xfId="0" applyNumberFormat="1" applyBorder="1" applyAlignment="1">
      <alignment horizontal="center" vertical="center"/>
    </xf>
    <xf numFmtId="166" fontId="0" fillId="0" borderId="7" xfId="0" applyNumberFormat="1" applyBorder="1"/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/>
    <xf numFmtId="2" fontId="2" fillId="0" borderId="5" xfId="0" applyNumberFormat="1" applyFont="1" applyBorder="1" applyAlignment="1">
      <alignment horizontal="center" vertical="center"/>
    </xf>
    <xf numFmtId="2" fontId="0" fillId="0" borderId="13" xfId="0" applyNumberFormat="1" applyBorder="1"/>
    <xf numFmtId="2" fontId="0" fillId="0" borderId="23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16B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542925</xdr:colOff>
      <xdr:row>26</xdr:row>
      <xdr:rowOff>19050</xdr:rowOff>
    </xdr:from>
    <xdr:to>
      <xdr:col>24</xdr:col>
      <xdr:colOff>404693</xdr:colOff>
      <xdr:row>39</xdr:row>
      <xdr:rowOff>30696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1897B129-71EB-2E59-4576-D5E2F2A0A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4981575"/>
          <a:ext cx="9615368" cy="2488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AF4F-F01D-4C2E-A982-A4080E2ECA6B}">
  <dimension ref="B1:AD96"/>
  <sheetViews>
    <sheetView showGridLines="0" tabSelected="1" workbookViewId="0">
      <selection activeCell="L19" sqref="L19"/>
    </sheetView>
  </sheetViews>
  <sheetFormatPr defaultColWidth="11.42578125" defaultRowHeight="15" customHeight="1"/>
  <cols>
    <col min="3" max="3" width="13.85546875" bestFit="1" customWidth="1"/>
    <col min="4" max="6" width="14.85546875" bestFit="1" customWidth="1"/>
    <col min="7" max="7" width="14.85546875" customWidth="1"/>
    <col min="8" max="10" width="13.85546875" bestFit="1" customWidth="1"/>
    <col min="12" max="12" width="24.42578125" customWidth="1"/>
    <col min="14" max="14" width="18" customWidth="1"/>
    <col min="19" max="22" width="11.42578125" style="40"/>
    <col min="24" max="24" width="14" bestFit="1" customWidth="1"/>
    <col min="25" max="25" width="16.140625" customWidth="1"/>
  </cols>
  <sheetData>
    <row r="1" spans="2:30" ht="15" customHeight="1">
      <c r="D1" s="9" t="s">
        <v>0</v>
      </c>
      <c r="E1" s="9" t="s">
        <v>1</v>
      </c>
      <c r="F1" s="9" t="s">
        <v>2</v>
      </c>
      <c r="G1" s="9"/>
      <c r="O1" s="41"/>
      <c r="P1" s="48" t="s">
        <v>1</v>
      </c>
      <c r="Q1" s="48" t="s">
        <v>0</v>
      </c>
      <c r="R1" s="60" t="s">
        <v>3</v>
      </c>
      <c r="S1" s="61" t="s">
        <v>4</v>
      </c>
      <c r="T1" s="56"/>
      <c r="U1" s="56"/>
      <c r="V1" s="57"/>
      <c r="X1" t="s">
        <v>0</v>
      </c>
      <c r="Y1" t="s">
        <v>1</v>
      </c>
      <c r="Z1" t="s">
        <v>2</v>
      </c>
    </row>
    <row r="2" spans="2:30" ht="14.45" customHeight="1">
      <c r="D2" s="16" t="s">
        <v>5</v>
      </c>
      <c r="E2" s="16"/>
      <c r="F2" s="23"/>
      <c r="G2" s="50" t="s">
        <v>6</v>
      </c>
      <c r="H2" s="50"/>
      <c r="I2" s="50"/>
      <c r="J2" s="50"/>
      <c r="K2" s="3"/>
      <c r="L2" s="4" t="s">
        <v>7</v>
      </c>
      <c r="M2" s="4"/>
      <c r="N2" s="4"/>
      <c r="O2" s="53" t="s">
        <v>8</v>
      </c>
      <c r="P2" s="54"/>
      <c r="Q2" s="54"/>
      <c r="R2" s="54"/>
      <c r="S2" s="66"/>
      <c r="T2" s="67" t="s">
        <v>0</v>
      </c>
      <c r="U2" s="67" t="s">
        <v>1</v>
      </c>
      <c r="V2" s="68" t="s">
        <v>2</v>
      </c>
      <c r="W2" s="40"/>
      <c r="X2" s="4" t="s">
        <v>9</v>
      </c>
      <c r="Y2" s="4"/>
      <c r="Z2" s="4"/>
      <c r="AA2" s="20" t="s">
        <v>10</v>
      </c>
      <c r="AB2" s="21"/>
      <c r="AC2" s="21"/>
      <c r="AD2" s="21"/>
    </row>
    <row r="3" spans="2:30">
      <c r="B3" s="1" t="s">
        <v>11</v>
      </c>
      <c r="C3" s="2" t="s">
        <v>12</v>
      </c>
      <c r="D3" s="17" t="s">
        <v>13</v>
      </c>
      <c r="E3" s="17" t="s">
        <v>14</v>
      </c>
      <c r="F3" s="24" t="s">
        <v>15</v>
      </c>
      <c r="G3" s="30" t="s">
        <v>11</v>
      </c>
      <c r="H3" s="30" t="s">
        <v>16</v>
      </c>
      <c r="I3" s="30" t="s">
        <v>17</v>
      </c>
      <c r="J3" s="30" t="s">
        <v>18</v>
      </c>
      <c r="K3" s="29" t="s">
        <v>11</v>
      </c>
      <c r="L3" s="5" t="s">
        <v>19</v>
      </c>
      <c r="M3" s="5" t="s">
        <v>20</v>
      </c>
      <c r="N3" s="33" t="s">
        <v>21</v>
      </c>
      <c r="O3" s="42" t="s">
        <v>11</v>
      </c>
      <c r="P3" s="22" t="s">
        <v>22</v>
      </c>
      <c r="Q3" s="34" t="s">
        <v>23</v>
      </c>
      <c r="R3" s="33" t="s">
        <v>24</v>
      </c>
      <c r="S3" s="69" t="s">
        <v>11</v>
      </c>
      <c r="T3" s="62" t="s">
        <v>25</v>
      </c>
      <c r="U3" s="62" t="s">
        <v>26</v>
      </c>
      <c r="V3" s="63" t="s">
        <v>27</v>
      </c>
      <c r="W3" s="22"/>
      <c r="X3" s="31" t="s">
        <v>28</v>
      </c>
      <c r="Y3" s="31" t="s">
        <v>29</v>
      </c>
      <c r="Z3" s="31" t="s">
        <v>30</v>
      </c>
      <c r="AA3" s="38" t="s">
        <v>31</v>
      </c>
      <c r="AB3" s="6" t="s">
        <v>32</v>
      </c>
      <c r="AC3" s="18" t="s">
        <v>33</v>
      </c>
      <c r="AD3" s="6" t="s">
        <v>34</v>
      </c>
    </row>
    <row r="4" spans="2:30">
      <c r="B4" t="s">
        <v>35</v>
      </c>
      <c r="C4">
        <v>0.1168</v>
      </c>
      <c r="D4" s="11">
        <v>8.5629999999999994E-3</v>
      </c>
      <c r="E4" s="11">
        <v>8.3000000000000001E-4</v>
      </c>
      <c r="F4" s="25">
        <v>1.0038E-2</v>
      </c>
      <c r="G4" s="51" t="s">
        <v>35</v>
      </c>
      <c r="H4" s="58">
        <v>0.25485000000000002</v>
      </c>
      <c r="I4" s="58">
        <v>1.83E-3</v>
      </c>
      <c r="J4" s="58">
        <v>2.5239999999999999E-2</v>
      </c>
      <c r="K4" s="22" t="s">
        <v>35</v>
      </c>
      <c r="L4" s="5" t="s">
        <v>36</v>
      </c>
      <c r="M4" s="5" t="s">
        <v>37</v>
      </c>
      <c r="N4" s="5" t="s">
        <v>38</v>
      </c>
      <c r="O4" s="43" t="s">
        <v>35</v>
      </c>
      <c r="P4" s="32">
        <v>1.2522E-2</v>
      </c>
      <c r="Q4" s="6">
        <v>0.103103</v>
      </c>
      <c r="R4" s="32">
        <v>1.1255999999999999</v>
      </c>
      <c r="S4" s="70" t="s">
        <v>35</v>
      </c>
      <c r="T4" s="31" t="s">
        <v>39</v>
      </c>
      <c r="U4" s="31" t="s">
        <v>40</v>
      </c>
      <c r="V4" s="71" t="s">
        <v>41</v>
      </c>
      <c r="W4" s="22" t="s">
        <v>35</v>
      </c>
      <c r="X4" s="5">
        <v>4.2200000000000001E-2</v>
      </c>
      <c r="Y4" s="5">
        <v>3.2000000000000002E-3</v>
      </c>
      <c r="Z4" s="5">
        <v>9.6500000000000002E-2</v>
      </c>
      <c r="AA4" s="38">
        <v>2.1999999999999999E-2</v>
      </c>
      <c r="AB4" s="6">
        <v>3.5000000000000003E-2</v>
      </c>
      <c r="AC4" s="18">
        <v>1.0669999999999999</v>
      </c>
      <c r="AD4" s="6">
        <v>0.16700000000000001</v>
      </c>
    </row>
    <row r="5" spans="2:30">
      <c r="B5" t="s">
        <v>42</v>
      </c>
      <c r="C5">
        <v>9.5000000000000001E-2</v>
      </c>
      <c r="D5" s="11">
        <v>1.6803999999999999E-2</v>
      </c>
      <c r="E5" s="11">
        <v>3.1629999999999998E-2</v>
      </c>
      <c r="F5" s="25">
        <v>1.8799999999999999E-3</v>
      </c>
      <c r="G5" s="51" t="s">
        <v>42</v>
      </c>
      <c r="H5" s="58">
        <v>3.7199999999999997E-2</v>
      </c>
      <c r="I5" s="58">
        <v>4.65E-2</v>
      </c>
      <c r="J5" s="58">
        <v>5.4300000000000001E-2</v>
      </c>
      <c r="K5" s="22" t="s">
        <v>42</v>
      </c>
      <c r="L5" s="5" t="s">
        <v>43</v>
      </c>
      <c r="M5" s="5" t="s">
        <v>44</v>
      </c>
      <c r="N5" s="5" t="s">
        <v>45</v>
      </c>
      <c r="O5" s="43" t="s">
        <v>42</v>
      </c>
      <c r="P5" s="32">
        <v>6.0935000000000003E-2</v>
      </c>
      <c r="Q5" s="6">
        <v>6.3346E-2</v>
      </c>
      <c r="R5" s="32">
        <v>0.12932099999999999</v>
      </c>
      <c r="S5" s="70" t="s">
        <v>42</v>
      </c>
      <c r="T5" s="31" t="s">
        <v>46</v>
      </c>
      <c r="U5" s="31" t="s">
        <v>47</v>
      </c>
      <c r="V5" s="71" t="s">
        <v>48</v>
      </c>
      <c r="W5" s="22" t="s">
        <v>42</v>
      </c>
      <c r="X5" s="5">
        <v>5.1999999999999998E-2</v>
      </c>
      <c r="Y5" s="5">
        <v>4.4499999999999998E-2</v>
      </c>
      <c r="Z5" s="5">
        <v>7.7899999999999997E-2</v>
      </c>
      <c r="AA5" s="38">
        <v>4.5999999999999999E-2</v>
      </c>
      <c r="AB5" s="6">
        <v>0.185</v>
      </c>
      <c r="AC5" s="18">
        <v>4.8000000000000001E-2</v>
      </c>
      <c r="AD5" s="6">
        <v>0.19800000000000001</v>
      </c>
    </row>
    <row r="6" spans="2:30">
      <c r="B6" t="s">
        <v>49</v>
      </c>
      <c r="C6">
        <v>0.88</v>
      </c>
      <c r="D6" s="11">
        <v>0.97829100000000002</v>
      </c>
      <c r="E6" s="11">
        <v>0.96229399999999998</v>
      </c>
      <c r="F6" s="25">
        <v>0.99390199999999995</v>
      </c>
      <c r="G6" s="51" t="s">
        <v>49</v>
      </c>
      <c r="H6" s="58">
        <v>0.94720000000000004</v>
      </c>
      <c r="I6" s="58">
        <v>0.94750000000000001</v>
      </c>
      <c r="J6" s="58">
        <v>0.92800000000000005</v>
      </c>
      <c r="K6" s="22" t="s">
        <v>49</v>
      </c>
      <c r="L6" s="5" t="s">
        <v>50</v>
      </c>
      <c r="M6" s="5" t="s">
        <v>51</v>
      </c>
      <c r="N6" s="5" t="s">
        <v>52</v>
      </c>
      <c r="O6" s="43" t="s">
        <v>49</v>
      </c>
      <c r="P6" s="32">
        <v>0.91039099999999995</v>
      </c>
      <c r="Q6" s="6">
        <v>0.90342599999999995</v>
      </c>
      <c r="R6" s="32">
        <v>0.83834600000000004</v>
      </c>
      <c r="S6" s="70" t="s">
        <v>49</v>
      </c>
      <c r="T6" s="31" t="s">
        <v>53</v>
      </c>
      <c r="U6" s="31" t="s">
        <v>54</v>
      </c>
      <c r="V6" s="71" t="s">
        <v>55</v>
      </c>
      <c r="W6" s="22" t="s">
        <v>49</v>
      </c>
      <c r="X6" s="5">
        <v>0.91100000000000003</v>
      </c>
      <c r="Y6" s="5">
        <v>0.94310000000000005</v>
      </c>
      <c r="Z6" s="5">
        <v>0.88449999999999995</v>
      </c>
      <c r="AA6" s="38">
        <v>0.95</v>
      </c>
      <c r="AB6" s="6">
        <v>0.75600000000000001</v>
      </c>
      <c r="AC6" s="18">
        <v>0.755</v>
      </c>
      <c r="AD6" s="6">
        <v>0.64</v>
      </c>
    </row>
    <row r="7" spans="2:30">
      <c r="B7" t="s">
        <v>56</v>
      </c>
      <c r="C7">
        <f>C5+C6</f>
        <v>0.97499999999999998</v>
      </c>
      <c r="D7" s="12">
        <f t="shared" ref="D7:F7" si="0">D5+D6</f>
        <v>0.99509500000000006</v>
      </c>
      <c r="E7" s="12">
        <f>(E5+E6)</f>
        <v>0.99392400000000003</v>
      </c>
      <c r="F7" s="26">
        <f t="shared" si="0"/>
        <v>0.99578199999999994</v>
      </c>
      <c r="G7" s="51" t="s">
        <v>56</v>
      </c>
      <c r="H7" s="58">
        <v>0.98440000000000005</v>
      </c>
      <c r="I7" s="58">
        <v>0.99409999999999998</v>
      </c>
      <c r="J7" s="58">
        <v>0.98219999999999996</v>
      </c>
      <c r="K7" s="22" t="s">
        <v>56</v>
      </c>
      <c r="L7" s="5" t="s">
        <v>57</v>
      </c>
      <c r="M7" s="5" t="s">
        <v>58</v>
      </c>
      <c r="N7" s="5" t="s">
        <v>59</v>
      </c>
      <c r="O7" s="43" t="s">
        <v>56</v>
      </c>
      <c r="P7" s="33">
        <f>P5+P6</f>
        <v>0.97132599999999991</v>
      </c>
      <c r="Q7" s="6">
        <f>Q5+Q6</f>
        <v>0.96677199999999996</v>
      </c>
      <c r="R7" s="32">
        <f>R5+R6</f>
        <v>0.96766700000000005</v>
      </c>
      <c r="S7" s="70" t="s">
        <v>56</v>
      </c>
      <c r="T7" s="31" t="s">
        <v>60</v>
      </c>
      <c r="U7" s="31" t="s">
        <v>61</v>
      </c>
      <c r="V7" s="71" t="s">
        <v>62</v>
      </c>
      <c r="W7" s="22" t="s">
        <v>56</v>
      </c>
      <c r="X7" s="5">
        <v>0.96299999999999997</v>
      </c>
      <c r="Y7" s="5">
        <v>0.98760000000000003</v>
      </c>
      <c r="Z7" s="5">
        <v>0.96240000000000003</v>
      </c>
      <c r="AA7" s="38">
        <f>AA5+AA6</f>
        <v>0.996</v>
      </c>
      <c r="AB7" s="6">
        <f>AB5+AB6</f>
        <v>0.94100000000000006</v>
      </c>
      <c r="AC7" s="6">
        <f>AC5+AC6</f>
        <v>0.80300000000000005</v>
      </c>
      <c r="AD7" s="19">
        <f>AD5+AD6</f>
        <v>0.83800000000000008</v>
      </c>
    </row>
    <row r="8" spans="2:30">
      <c r="B8" t="s">
        <v>63</v>
      </c>
      <c r="C8">
        <f>(C4/(1-C7))^0.5</f>
        <v>2.1614809737770067</v>
      </c>
      <c r="D8" s="13">
        <f t="shared" ref="D8:F8" si="1">(D4/(1-D7))^0.5</f>
        <v>1.3212757557882704</v>
      </c>
      <c r="E8" s="13">
        <f t="shared" si="1"/>
        <v>0.36959846902834714</v>
      </c>
      <c r="F8" s="27">
        <f t="shared" si="1"/>
        <v>1.5426603169476529</v>
      </c>
      <c r="G8" s="51" t="s">
        <v>63</v>
      </c>
      <c r="H8" s="58">
        <v>4.0449999999999999</v>
      </c>
      <c r="I8" s="58">
        <v>0.5544</v>
      </c>
      <c r="J8" s="58">
        <v>1.1917</v>
      </c>
      <c r="K8" s="22" t="s">
        <v>63</v>
      </c>
      <c r="L8" s="5">
        <v>5267633487</v>
      </c>
      <c r="M8" s="5" t="s">
        <v>64</v>
      </c>
      <c r="N8" s="5">
        <v>5544437197</v>
      </c>
      <c r="O8" s="43" t="s">
        <v>63</v>
      </c>
      <c r="P8" s="33">
        <f>(P4/(1-P7))^0.5</f>
        <v>0.66083450194592941</v>
      </c>
      <c r="Q8" s="6">
        <f>(Q4/(1-Q7))^0.5</f>
        <v>1.7615036612706183</v>
      </c>
      <c r="R8" s="32">
        <f>(R4/(1-R7))^0.5</f>
        <v>5.9002313537813649</v>
      </c>
      <c r="S8" s="70" t="s">
        <v>63</v>
      </c>
      <c r="T8" s="72">
        <v>24813</v>
      </c>
      <c r="U8" s="31" t="s">
        <v>65</v>
      </c>
      <c r="V8" s="73">
        <v>41204</v>
      </c>
      <c r="W8" s="22" t="s">
        <v>63</v>
      </c>
      <c r="X8" s="5">
        <v>1.07</v>
      </c>
      <c r="Y8" s="5">
        <v>0.50680000000000003</v>
      </c>
      <c r="Z8" s="5">
        <v>1.6</v>
      </c>
      <c r="AA8" s="38">
        <f>(AA4/(1-AA7))^0.5</f>
        <v>2.3452078799117135</v>
      </c>
      <c r="AB8" s="6">
        <f>(AB4/(1-AB7))^0.5</f>
        <v>0.77020798423740811</v>
      </c>
      <c r="AC8" s="6">
        <f>(AC4/(1-AC7))^0.5</f>
        <v>2.3272824613317433</v>
      </c>
      <c r="AD8" s="6">
        <f>(AD4/(1-AD7))^0.5</f>
        <v>1.0153148268053929</v>
      </c>
    </row>
    <row r="9" spans="2:30">
      <c r="B9" t="s">
        <v>66</v>
      </c>
      <c r="C9">
        <f>LN(0.5)/LN(C7)</f>
        <v>27.377851233805632</v>
      </c>
      <c r="D9" s="14">
        <f t="shared" ref="D9:F9" si="2">LN(0.5)/LN(D7)</f>
        <v>140.96755228888458</v>
      </c>
      <c r="E9" s="14">
        <f t="shared" si="2"/>
        <v>113.73259718031782</v>
      </c>
      <c r="F9" s="28">
        <f t="shared" si="2"/>
        <v>163.98395052257675</v>
      </c>
      <c r="G9" s="51" t="s">
        <v>66</v>
      </c>
      <c r="H9" s="58">
        <v>44.2</v>
      </c>
      <c r="I9" s="58">
        <v>116.3</v>
      </c>
      <c r="J9" s="58">
        <v>38.700000000000003</v>
      </c>
      <c r="K9" s="22" t="s">
        <v>66</v>
      </c>
      <c r="L9" s="5" t="s">
        <v>67</v>
      </c>
      <c r="M9" s="5" t="s">
        <v>68</v>
      </c>
      <c r="N9" s="5">
        <v>2354662863</v>
      </c>
      <c r="O9" s="43" t="s">
        <v>66</v>
      </c>
      <c r="P9" s="33">
        <f>LN(0.5)/LN(P7)</f>
        <v>23.825114873457007</v>
      </c>
      <c r="Q9" s="6">
        <f>LN(0.5)/LN(Q7)</f>
        <v>20.511808582675048</v>
      </c>
      <c r="R9" s="32">
        <f>LN(0.5)/LN(R7)</f>
        <v>21.089290631230501</v>
      </c>
      <c r="S9" s="70" t="s">
        <v>66</v>
      </c>
      <c r="T9" s="72">
        <v>591827</v>
      </c>
      <c r="U9" s="72">
        <v>32668</v>
      </c>
      <c r="V9" s="73">
        <v>4948966</v>
      </c>
      <c r="W9" s="22" t="s">
        <v>66</v>
      </c>
      <c r="X9" s="5">
        <v>18.41</v>
      </c>
      <c r="Y9" s="5">
        <v>55.56</v>
      </c>
      <c r="Z9" s="5">
        <v>18.079999999999998</v>
      </c>
      <c r="AA9" s="39">
        <f>LN(0.5)/LN(AA7)</f>
        <v>172.93999003737392</v>
      </c>
      <c r="AB9" s="7">
        <f>LN(0.5)/LN(AB7)</f>
        <v>11.398171276916225</v>
      </c>
      <c r="AC9" s="7">
        <f>LN(0.5)/LN(AC7)</f>
        <v>3.1592770987084049</v>
      </c>
      <c r="AD9" s="6">
        <f>LN(0.5)/LN(AD7)</f>
        <v>3.9219092804502016</v>
      </c>
    </row>
    <row r="10" spans="2:30">
      <c r="B10" t="s">
        <v>69</v>
      </c>
      <c r="C10">
        <f>C8*252^0.5</f>
        <v>34.312446721270099</v>
      </c>
      <c r="D10" s="14">
        <f t="shared" ref="D10:F10" si="3">D8*252^0.5</f>
        <v>20.974602378928047</v>
      </c>
      <c r="E10" s="14">
        <f t="shared" si="3"/>
        <v>5.8671938039952902</v>
      </c>
      <c r="F10" s="28">
        <f t="shared" si="3"/>
        <v>24.488973336549417</v>
      </c>
      <c r="G10" s="51" t="s">
        <v>69</v>
      </c>
      <c r="H10" s="58">
        <v>64.209999999999994</v>
      </c>
      <c r="I10" s="58">
        <v>8.8000000000000007</v>
      </c>
      <c r="J10" s="58">
        <v>18.920000000000002</v>
      </c>
      <c r="K10" s="22" t="s">
        <v>69</v>
      </c>
      <c r="L10" s="5" t="s">
        <v>70</v>
      </c>
      <c r="M10" s="5" t="s">
        <v>71</v>
      </c>
      <c r="N10" s="5" t="s">
        <v>72</v>
      </c>
      <c r="O10" s="43" t="s">
        <v>69</v>
      </c>
      <c r="P10" s="33">
        <f>P8*252^0.5</f>
        <v>10.490422499520951</v>
      </c>
      <c r="Q10" s="6">
        <f>Q8*252^0.5</f>
        <v>27.963003727510891</v>
      </c>
      <c r="R10" s="46">
        <f>R8*252^0.5</f>
        <v>93.663269039108712</v>
      </c>
      <c r="S10" s="70" t="s">
        <v>69</v>
      </c>
      <c r="T10" s="72">
        <v>393890</v>
      </c>
      <c r="U10" s="72">
        <v>79204</v>
      </c>
      <c r="V10" s="73">
        <v>654098</v>
      </c>
      <c r="W10" s="22" t="s">
        <v>69</v>
      </c>
      <c r="X10" s="5">
        <v>16.399999999999999</v>
      </c>
      <c r="Y10" s="5">
        <v>5.37</v>
      </c>
      <c r="Z10" s="5">
        <v>23.01</v>
      </c>
      <c r="AA10" s="39">
        <f>AA8*252^0.5</f>
        <v>37.22902093797255</v>
      </c>
      <c r="AB10" s="7">
        <f>AB8*252^0.5</f>
        <v>12.226672704531229</v>
      </c>
      <c r="AC10" s="7">
        <f>AC8*252^0.5</f>
        <v>36.944463739716525</v>
      </c>
      <c r="AD10" s="6">
        <f>AD8*252^0.5</f>
        <v>16.117623204982117</v>
      </c>
    </row>
    <row r="11" spans="2:30" ht="15" customHeight="1">
      <c r="B11" t="s">
        <v>73</v>
      </c>
      <c r="C11">
        <f>15/C10</f>
        <v>0.43715914874416639</v>
      </c>
      <c r="D11" s="13">
        <f t="shared" ref="D11:F11" si="4">15/D10</f>
        <v>0.71515062498012449</v>
      </c>
      <c r="E11" s="13">
        <f t="shared" si="4"/>
        <v>2.5565884647931156</v>
      </c>
      <c r="F11" s="27">
        <f t="shared" si="4"/>
        <v>0.61252057380505742</v>
      </c>
      <c r="G11" s="51" t="s">
        <v>73</v>
      </c>
      <c r="H11" s="58">
        <v>0.26700000000000002</v>
      </c>
      <c r="I11" s="58">
        <v>2.8260000000000001</v>
      </c>
      <c r="J11" s="58">
        <v>0.66500000000000004</v>
      </c>
      <c r="K11" s="22" t="s">
        <v>73</v>
      </c>
      <c r="L11" s="5" t="s">
        <v>74</v>
      </c>
      <c r="M11" s="5"/>
      <c r="N11" s="5" t="s">
        <v>75</v>
      </c>
      <c r="O11" s="43" t="s">
        <v>73</v>
      </c>
      <c r="P11" s="47">
        <f>15/P10</f>
        <v>1.4298756795243452</v>
      </c>
      <c r="Q11" s="6">
        <f>15/Q10</f>
        <v>0.53642305905937149</v>
      </c>
      <c r="R11" s="32">
        <f>15/R10</f>
        <v>0.160148157905281</v>
      </c>
      <c r="S11" s="70" t="s">
        <v>73</v>
      </c>
      <c r="T11" s="31" t="s">
        <v>76</v>
      </c>
      <c r="U11" s="72">
        <v>18938</v>
      </c>
      <c r="V11" s="71" t="s">
        <v>77</v>
      </c>
      <c r="W11" s="22" t="s">
        <v>73</v>
      </c>
      <c r="X11" s="5">
        <v>0.91439999999999999</v>
      </c>
      <c r="Y11" s="5">
        <v>2.79</v>
      </c>
      <c r="Z11" s="5">
        <v>0.65190000000000003</v>
      </c>
      <c r="AA11" s="38">
        <f>15/AA10</f>
        <v>0.40291148201269039</v>
      </c>
      <c r="AB11" s="6">
        <f>15/AB10</f>
        <v>1.2268260026655471</v>
      </c>
      <c r="AC11" s="6">
        <f>15/AC10</f>
        <v>0.40601482554135715</v>
      </c>
      <c r="AD11" s="6">
        <f>15/AD10</f>
        <v>0.93065831166492041</v>
      </c>
    </row>
    <row r="12" spans="2:30" ht="15" customHeight="1">
      <c r="B12" t="s">
        <v>78</v>
      </c>
      <c r="C12">
        <f>C11*100</f>
        <v>43.71591487441664</v>
      </c>
      <c r="D12" s="13">
        <f t="shared" ref="D12:F12" si="5">D11*100</f>
        <v>71.515062498012455</v>
      </c>
      <c r="E12" s="13">
        <f t="shared" si="5"/>
        <v>255.65884647931156</v>
      </c>
      <c r="F12" s="27">
        <f t="shared" si="5"/>
        <v>61.25205738050574</v>
      </c>
      <c r="G12" s="51" t="s">
        <v>78</v>
      </c>
      <c r="H12" s="58">
        <v>26.7</v>
      </c>
      <c r="I12" s="58">
        <v>282.60000000000002</v>
      </c>
      <c r="J12" s="58">
        <v>66.5</v>
      </c>
      <c r="K12" s="22" t="s">
        <v>78</v>
      </c>
      <c r="L12" s="45" t="s">
        <v>79</v>
      </c>
      <c r="M12" s="5"/>
      <c r="N12" s="5" t="s">
        <v>80</v>
      </c>
      <c r="O12" s="44" t="s">
        <v>78</v>
      </c>
      <c r="P12" s="59">
        <f>P11*100</f>
        <v>142.98756795243452</v>
      </c>
      <c r="Q12" s="49">
        <f>Q11*100</f>
        <v>53.64230590593715</v>
      </c>
      <c r="R12" s="55">
        <f>R11*100</f>
        <v>16.0148157905281</v>
      </c>
      <c r="S12" s="74" t="s">
        <v>78</v>
      </c>
      <c r="T12" s="75">
        <v>380817</v>
      </c>
      <c r="U12" s="75">
        <v>1893834</v>
      </c>
      <c r="V12" s="76">
        <v>229324</v>
      </c>
      <c r="W12" s="22" t="s">
        <v>78</v>
      </c>
      <c r="X12" s="5">
        <v>91440000</v>
      </c>
      <c r="Y12" s="5">
        <v>279000000</v>
      </c>
      <c r="Z12" s="5">
        <v>65200000</v>
      </c>
      <c r="AA12" s="38">
        <f>AA11*100</f>
        <v>40.291148201269039</v>
      </c>
      <c r="AB12" s="6">
        <f>AB11*100</f>
        <v>122.68260026655472</v>
      </c>
      <c r="AC12" s="6">
        <f>AC11*100</f>
        <v>40.601482554135714</v>
      </c>
      <c r="AD12" s="6">
        <f>AD11*100</f>
        <v>93.065831166492046</v>
      </c>
    </row>
    <row r="19" spans="2:10" ht="15" customHeight="1">
      <c r="B19" s="1" t="s">
        <v>11</v>
      </c>
      <c r="C19" s="17" t="s">
        <v>14</v>
      </c>
      <c r="D19" s="15" t="s">
        <v>34</v>
      </c>
      <c r="E19" s="36" t="s">
        <v>32</v>
      </c>
      <c r="F19" s="24" t="s">
        <v>29</v>
      </c>
      <c r="G19" s="17" t="s">
        <v>22</v>
      </c>
      <c r="H19" s="30" t="s">
        <v>17</v>
      </c>
      <c r="I19" s="62" t="s">
        <v>26</v>
      </c>
      <c r="J19" s="5" t="s">
        <v>20</v>
      </c>
    </row>
    <row r="20" spans="2:10" ht="15" customHeight="1">
      <c r="B20" t="s">
        <v>35</v>
      </c>
      <c r="C20" s="11">
        <v>8.3000000000000001E-4</v>
      </c>
      <c r="D20" s="6">
        <v>0.16700000000000001</v>
      </c>
      <c r="E20" s="18">
        <v>3.5000000000000003E-2</v>
      </c>
      <c r="F20" s="18">
        <v>3.2000000000000002E-3</v>
      </c>
      <c r="G20" s="6">
        <v>1.2522E-2</v>
      </c>
      <c r="H20" s="58">
        <v>1.83E-3</v>
      </c>
      <c r="I20" s="31">
        <v>4.7600000000000003E-2</v>
      </c>
      <c r="J20" s="5">
        <v>3.8449999999999999E-3</v>
      </c>
    </row>
    <row r="21" spans="2:10" ht="15" customHeight="1">
      <c r="B21" t="s">
        <v>42</v>
      </c>
      <c r="C21" s="11">
        <v>3.1629999999999998E-2</v>
      </c>
      <c r="D21" s="6">
        <v>0.19800000000000001</v>
      </c>
      <c r="E21" s="18">
        <v>0.185</v>
      </c>
      <c r="F21" s="18">
        <v>4.4499999999999998E-2</v>
      </c>
      <c r="G21" s="6">
        <v>6.0935000000000003E-2</v>
      </c>
      <c r="H21" s="58">
        <v>4.65E-2</v>
      </c>
      <c r="I21" s="31">
        <v>9.0499999999999997E-2</v>
      </c>
      <c r="J21" s="5">
        <v>2.7966999999999999E-2</v>
      </c>
    </row>
    <row r="22" spans="2:10" ht="15" customHeight="1">
      <c r="B22" t="s">
        <v>49</v>
      </c>
      <c r="C22" s="11">
        <v>0.96229399999999998</v>
      </c>
      <c r="D22" s="6">
        <v>0.64</v>
      </c>
      <c r="E22" s="18">
        <v>0.75600000000000001</v>
      </c>
      <c r="F22" s="18">
        <v>0.94310000000000005</v>
      </c>
      <c r="G22" s="6">
        <v>0.91039099999999995</v>
      </c>
      <c r="H22" s="58">
        <v>0.94750000000000001</v>
      </c>
      <c r="I22" s="31">
        <v>0.71830000000000005</v>
      </c>
      <c r="J22" s="5">
        <v>0.967113</v>
      </c>
    </row>
    <row r="23" spans="2:10" ht="15.75" customHeight="1">
      <c r="B23" t="s">
        <v>56</v>
      </c>
      <c r="C23" s="12">
        <f>C21+C22</f>
        <v>0.99392400000000003</v>
      </c>
      <c r="D23" s="6">
        <f>D21+D22</f>
        <v>0.83800000000000008</v>
      </c>
      <c r="E23" s="18">
        <f>E21+E22</f>
        <v>0.94100000000000006</v>
      </c>
      <c r="F23" s="18">
        <f>F21+F22</f>
        <v>0.98760000000000003</v>
      </c>
      <c r="G23" s="6">
        <f>G21+G22</f>
        <v>0.97132599999999991</v>
      </c>
      <c r="H23" s="6">
        <f>H21+H22</f>
        <v>0.99399999999999999</v>
      </c>
      <c r="I23" s="6">
        <f>I21+I22</f>
        <v>0.80880000000000007</v>
      </c>
      <c r="J23" s="6">
        <f>J21+J22</f>
        <v>0.99507999999999996</v>
      </c>
    </row>
    <row r="24" spans="2:10" ht="15" customHeight="1">
      <c r="B24" t="s">
        <v>63</v>
      </c>
      <c r="C24" s="12">
        <f>(C20/(1-C23))^0.5</f>
        <v>0.36959846902834714</v>
      </c>
      <c r="D24" s="10">
        <f>(D20/(1-D23))^0.5</f>
        <v>1.0153148268053929</v>
      </c>
      <c r="E24" s="10">
        <f>(E20/(1-E23))^0.5</f>
        <v>0.77020798423740811</v>
      </c>
      <c r="F24" s="10">
        <f>(F20/(1-F23))^0.5</f>
        <v>0.50800050800076268</v>
      </c>
      <c r="G24" s="10">
        <f>(G20/(1-G23))^0.5</f>
        <v>0.66083450194592941</v>
      </c>
      <c r="H24" s="10">
        <f>(H20/(1-H23))^0.5</f>
        <v>0.55226805085936281</v>
      </c>
      <c r="I24" s="10">
        <f>(I20/(1-I23))^0.5</f>
        <v>0.49895287843181907</v>
      </c>
      <c r="J24" s="10">
        <f>(J20/(1-J23))^0.5</f>
        <v>0.88402718569094063</v>
      </c>
    </row>
    <row r="25" spans="2:10" ht="15" customHeight="1">
      <c r="B25" t="s">
        <v>66</v>
      </c>
      <c r="C25" s="78">
        <f>LN(0.5)/LN(C23)</f>
        <v>113.73259718031782</v>
      </c>
      <c r="D25" s="10">
        <f>LN(0.5)/LN(D23)</f>
        <v>3.9219092804502016</v>
      </c>
      <c r="E25" s="79">
        <f>LN(0.5)/LN(E23)</f>
        <v>11.398171276916225</v>
      </c>
      <c r="F25" s="79">
        <f>LN(0.5)/LN(F23)</f>
        <v>55.551671855874815</v>
      </c>
      <c r="G25" s="10">
        <f>LN(0.5)/LN(G23)</f>
        <v>23.825114873457007</v>
      </c>
      <c r="H25" s="10">
        <f>LN(0.5)/LN(H23)</f>
        <v>115.17760888576524</v>
      </c>
      <c r="I25" s="10">
        <f>LN(0.5)/LN(I23)</f>
        <v>3.266424998106273</v>
      </c>
      <c r="J25" s="10">
        <f>LN(0.5)/LN(J23)</f>
        <v>140.53671480262238</v>
      </c>
    </row>
    <row r="26" spans="2:10" ht="15" customHeight="1">
      <c r="B26" t="s">
        <v>69</v>
      </c>
      <c r="C26" s="78">
        <f>C24*252^0.5</f>
        <v>5.8671938039952902</v>
      </c>
      <c r="D26" s="10">
        <f>D24*252^0.5</f>
        <v>16.117623204982117</v>
      </c>
      <c r="E26" s="79">
        <f>E24*252^0.5</f>
        <v>12.226672704531229</v>
      </c>
      <c r="F26" s="79">
        <f>F24*252^0.5</f>
        <v>8.064258060386976</v>
      </c>
      <c r="G26" s="10">
        <f>G24*252^0.5</f>
        <v>10.490422499520951</v>
      </c>
      <c r="H26" s="10">
        <f>H24*252^0.5</f>
        <v>8.7669835177214708</v>
      </c>
      <c r="I26" s="10">
        <f>I24*252^0.5</f>
        <v>7.92063139362262</v>
      </c>
      <c r="J26" s="10">
        <f>J24*252^0.5</f>
        <v>14.033496513351279</v>
      </c>
    </row>
    <row r="27" spans="2:10" ht="15" customHeight="1">
      <c r="B27" t="s">
        <v>73</v>
      </c>
      <c r="C27" s="12">
        <f>15/C26</f>
        <v>2.5565884647931156</v>
      </c>
      <c r="D27" s="10">
        <f>15/D26</f>
        <v>0.93065831166492041</v>
      </c>
      <c r="E27" s="79">
        <f>15/E26</f>
        <v>1.2268260026655471</v>
      </c>
      <c r="F27" s="79">
        <f>15/F26</f>
        <v>1.8600595228571097</v>
      </c>
      <c r="G27" s="10">
        <f>15/G26</f>
        <v>1.4298756795243452</v>
      </c>
      <c r="H27" s="10">
        <f>15/H26</f>
        <v>1.710964777072888</v>
      </c>
      <c r="I27" s="10">
        <f>15/I26</f>
        <v>1.8937884184431821</v>
      </c>
      <c r="J27" s="10">
        <f>15/J26</f>
        <v>1.0688711815853735</v>
      </c>
    </row>
    <row r="28" spans="2:10" ht="15" customHeight="1">
      <c r="B28" t="s">
        <v>78</v>
      </c>
      <c r="C28" s="12">
        <f>C27*100</f>
        <v>255.65884647931156</v>
      </c>
      <c r="D28" s="10">
        <f>D27*100</f>
        <v>93.065831166492046</v>
      </c>
      <c r="E28" s="79">
        <f>E27*100</f>
        <v>122.68260026655472</v>
      </c>
      <c r="F28" s="79">
        <f>F27*100</f>
        <v>186.00595228571098</v>
      </c>
      <c r="G28" s="10">
        <f>G27*100</f>
        <v>142.98756795243452</v>
      </c>
      <c r="H28" s="10">
        <f>H27*100</f>
        <v>171.09647770728878</v>
      </c>
      <c r="I28" s="10">
        <f>I27*100</f>
        <v>189.3788418443182</v>
      </c>
      <c r="J28" s="10">
        <f>J27*100</f>
        <v>106.88711815853735</v>
      </c>
    </row>
    <row r="30" spans="2:10" ht="15" customHeight="1">
      <c r="B30" s="1" t="s">
        <v>11</v>
      </c>
      <c r="C30" s="17" t="s">
        <v>13</v>
      </c>
      <c r="D30" s="15" t="s">
        <v>31</v>
      </c>
      <c r="E30" s="35" t="s">
        <v>23</v>
      </c>
      <c r="F30" s="17" t="s">
        <v>28</v>
      </c>
      <c r="G30" s="30" t="s">
        <v>19</v>
      </c>
      <c r="H30" s="30" t="s">
        <v>16</v>
      </c>
      <c r="I30" s="62" t="s">
        <v>25</v>
      </c>
    </row>
    <row r="31" spans="2:10" ht="15" customHeight="1">
      <c r="B31" t="s">
        <v>35</v>
      </c>
      <c r="C31" s="11">
        <v>8.5629999999999994E-3</v>
      </c>
      <c r="D31" s="6">
        <v>2.1999999999999999E-2</v>
      </c>
      <c r="E31" s="18">
        <v>0.103103</v>
      </c>
      <c r="F31" s="6">
        <v>4.2200000000000001E-2</v>
      </c>
      <c r="G31" s="5">
        <v>6.3927999999999999E-2</v>
      </c>
      <c r="H31" s="58">
        <v>0.25485000000000002</v>
      </c>
      <c r="I31" s="31">
        <v>7.17E-2</v>
      </c>
    </row>
    <row r="32" spans="2:10" ht="15" customHeight="1">
      <c r="B32" t="s">
        <v>42</v>
      </c>
      <c r="C32" s="11">
        <v>1.6803999999999999E-2</v>
      </c>
      <c r="D32" s="6">
        <v>4.5999999999999999E-2</v>
      </c>
      <c r="E32" s="18">
        <v>6.3346E-2</v>
      </c>
      <c r="F32" s="6">
        <v>5.1999999999999998E-2</v>
      </c>
      <c r="G32" s="5">
        <v>2.5360000000000001E-2</v>
      </c>
      <c r="H32" s="58">
        <v>3.7199999999999997E-2</v>
      </c>
      <c r="I32" s="31">
        <v>3.8899999999999997E-2</v>
      </c>
    </row>
    <row r="33" spans="2:9" ht="15" customHeight="1">
      <c r="B33" t="s">
        <v>49</v>
      </c>
      <c r="C33" s="11">
        <v>0.97829100000000002</v>
      </c>
      <c r="D33" s="6">
        <v>0.95</v>
      </c>
      <c r="E33" s="18">
        <v>0.90342599999999995</v>
      </c>
      <c r="F33" s="6">
        <v>0.91100000000000003</v>
      </c>
      <c r="G33" s="5">
        <v>0.96250400000000003</v>
      </c>
      <c r="H33" s="58">
        <v>0.94720000000000004</v>
      </c>
      <c r="I33" s="31">
        <v>0.94940000000000002</v>
      </c>
    </row>
    <row r="34" spans="2:9" ht="15" customHeight="1">
      <c r="B34" t="s">
        <v>56</v>
      </c>
      <c r="C34" s="12">
        <f>C32+C33</f>
        <v>0.99509500000000006</v>
      </c>
      <c r="D34" s="6">
        <f>D32+D33</f>
        <v>0.996</v>
      </c>
      <c r="E34" s="18">
        <f>E32+E33</f>
        <v>0.96677199999999996</v>
      </c>
      <c r="F34" s="6">
        <f>F32+F33</f>
        <v>0.96300000000000008</v>
      </c>
      <c r="G34" s="6">
        <f>G32+G33</f>
        <v>0.98786400000000008</v>
      </c>
      <c r="H34" s="6">
        <f>H32+H33</f>
        <v>0.98440000000000005</v>
      </c>
      <c r="I34" s="6">
        <f>I32+I33</f>
        <v>0.98830000000000007</v>
      </c>
    </row>
    <row r="35" spans="2:9" ht="15" customHeight="1">
      <c r="B35" t="s">
        <v>63</v>
      </c>
      <c r="C35" s="12">
        <f>(C31/(1-C34))^0.5</f>
        <v>1.3212757557882704</v>
      </c>
      <c r="D35" s="10">
        <f>(D31/(1-D34))^0.5</f>
        <v>2.3452078799117135</v>
      </c>
      <c r="E35" s="79">
        <f>(E31/(1-E34))^0.5</f>
        <v>1.7615036612706183</v>
      </c>
      <c r="F35" s="10">
        <f>(F31/(1-F34))^0.5</f>
        <v>1.0679609265045902</v>
      </c>
      <c r="G35" s="10">
        <f>(G31/(1-G34))^0.5</f>
        <v>2.2951325641770053</v>
      </c>
      <c r="H35" s="10">
        <f>(H31/(1-H34))^0.5</f>
        <v>4.0418483966544958</v>
      </c>
      <c r="I35" s="10">
        <f>(I31/(1-I34))^0.5</f>
        <v>2.4755211831461197</v>
      </c>
    </row>
    <row r="36" spans="2:9" ht="15" customHeight="1">
      <c r="B36" t="s">
        <v>66</v>
      </c>
      <c r="C36" s="78">
        <f>LN(0.5)/LN(C34)</f>
        <v>140.96755228888458</v>
      </c>
      <c r="D36" s="10">
        <f>LN(0.5)/LN(D34)</f>
        <v>172.93999003737392</v>
      </c>
      <c r="E36" s="79">
        <f>LN(0.5)/LN(E34)</f>
        <v>20.511808582675048</v>
      </c>
      <c r="F36" s="10">
        <f>LN(0.5)/LN(F34)</f>
        <v>18.384956298766408</v>
      </c>
      <c r="G36" s="10">
        <f>LN(0.5)/LN(G34)</f>
        <v>56.767683262589323</v>
      </c>
      <c r="H36" s="10">
        <f>LN(0.5)/LN(H34)</f>
        <v>44.085029794007852</v>
      </c>
      <c r="I36" s="10">
        <f>LN(0.5)/LN(I34)</f>
        <v>58.896095373946935</v>
      </c>
    </row>
    <row r="37" spans="2:9" ht="15" customHeight="1">
      <c r="B37" t="s">
        <v>69</v>
      </c>
      <c r="C37" s="78">
        <f>C35*252^0.5</f>
        <v>20.974602378928047</v>
      </c>
      <c r="D37" s="10">
        <f>D35*252^0.5</f>
        <v>37.22902093797255</v>
      </c>
      <c r="E37" s="79">
        <f>E35*252^0.5</f>
        <v>27.963003727510891</v>
      </c>
      <c r="F37" s="10">
        <f>F35*252^0.5</f>
        <v>16.953354128791648</v>
      </c>
      <c r="G37" s="10">
        <f>G35*252^0.5</f>
        <v>36.434099944430088</v>
      </c>
      <c r="H37" s="10">
        <f>H35*252^0.5</f>
        <v>64.162354167437684</v>
      </c>
      <c r="I37" s="10">
        <f>I35*252^0.5</f>
        <v>39.297680495262078</v>
      </c>
    </row>
    <row r="38" spans="2:9" ht="15" customHeight="1">
      <c r="B38" t="s">
        <v>73</v>
      </c>
      <c r="C38" s="12">
        <f>15/C37</f>
        <v>0.71515062498012449</v>
      </c>
      <c r="D38" s="10">
        <f>15/D37</f>
        <v>0.40291148201269039</v>
      </c>
      <c r="E38" s="79">
        <f>15/E37</f>
        <v>0.53642305905937149</v>
      </c>
      <c r="F38" s="10">
        <f>15/F37</f>
        <v>0.88478066853601001</v>
      </c>
      <c r="G38" s="10">
        <f>15/G37</f>
        <v>0.41170222464334938</v>
      </c>
      <c r="H38" s="10">
        <f>15/H37</f>
        <v>0.23378194573185535</v>
      </c>
      <c r="I38" s="10">
        <f>15/I37</f>
        <v>0.38170191754214283</v>
      </c>
    </row>
    <row r="39" spans="2:9" ht="15" customHeight="1">
      <c r="B39" t="s">
        <v>78</v>
      </c>
      <c r="C39" s="12">
        <f>C38*100</f>
        <v>71.515062498012455</v>
      </c>
      <c r="D39" s="10">
        <f>D38*100</f>
        <v>40.291148201269039</v>
      </c>
      <c r="E39" s="79">
        <f>E38*100</f>
        <v>53.64230590593715</v>
      </c>
      <c r="F39" s="10">
        <f>F38*100</f>
        <v>88.478066853601007</v>
      </c>
      <c r="G39" s="10">
        <f>G38*100</f>
        <v>41.170222464334941</v>
      </c>
      <c r="H39" s="10">
        <f>H38*100</f>
        <v>23.378194573185535</v>
      </c>
      <c r="I39" s="10">
        <f>I38*100</f>
        <v>38.170191754214287</v>
      </c>
    </row>
    <row r="41" spans="2:9" ht="15" customHeight="1">
      <c r="B41" s="1" t="s">
        <v>11</v>
      </c>
      <c r="C41" s="17" t="s">
        <v>15</v>
      </c>
      <c r="D41" s="36" t="s">
        <v>33</v>
      </c>
      <c r="E41" s="17" t="s">
        <v>30</v>
      </c>
      <c r="F41" s="37" t="s">
        <v>24</v>
      </c>
      <c r="G41" s="17" t="s">
        <v>12</v>
      </c>
      <c r="H41" s="30" t="s">
        <v>18</v>
      </c>
      <c r="I41" s="63" t="s">
        <v>27</v>
      </c>
    </row>
    <row r="42" spans="2:9" ht="15" customHeight="1">
      <c r="B42" t="s">
        <v>35</v>
      </c>
      <c r="C42" s="83">
        <v>1.0038E-2</v>
      </c>
      <c r="D42" s="82">
        <v>1.0669999999999999</v>
      </c>
      <c r="E42" s="77">
        <v>9.6500000000000002E-2</v>
      </c>
      <c r="F42" s="84">
        <v>1.1255999999999999</v>
      </c>
      <c r="G42" s="77">
        <v>0.1168</v>
      </c>
      <c r="H42" s="52">
        <v>2.5239999999999999E-2</v>
      </c>
      <c r="I42" s="85" t="s">
        <v>41</v>
      </c>
    </row>
    <row r="43" spans="2:9" ht="15" customHeight="1">
      <c r="B43" t="s">
        <v>42</v>
      </c>
      <c r="C43" s="83">
        <v>1.8799999999999999E-3</v>
      </c>
      <c r="D43" s="82">
        <v>4.8000000000000001E-2</v>
      </c>
      <c r="E43" s="77">
        <v>7.7899999999999997E-2</v>
      </c>
      <c r="F43" s="84">
        <v>0.12932099999999999</v>
      </c>
      <c r="G43" s="77">
        <v>9.5000000000000001E-2</v>
      </c>
      <c r="H43" s="52">
        <v>5.4300000000000001E-2</v>
      </c>
      <c r="I43" s="85" t="s">
        <v>48</v>
      </c>
    </row>
    <row r="44" spans="2:9" ht="15" customHeight="1">
      <c r="B44" t="s">
        <v>49</v>
      </c>
      <c r="C44" s="83">
        <v>0.99390199999999995</v>
      </c>
      <c r="D44" s="82">
        <v>0.755</v>
      </c>
      <c r="E44" s="77">
        <v>0.88449999999999995</v>
      </c>
      <c r="F44" s="84">
        <v>0.83834600000000004</v>
      </c>
      <c r="G44" s="77">
        <v>0.88</v>
      </c>
      <c r="H44" s="52">
        <v>0.92800000000000005</v>
      </c>
      <c r="I44" s="85" t="s">
        <v>55</v>
      </c>
    </row>
    <row r="45" spans="2:9" ht="15" customHeight="1">
      <c r="B45" t="s">
        <v>56</v>
      </c>
      <c r="C45" s="80">
        <f>C43+C44</f>
        <v>0.99578199999999994</v>
      </c>
      <c r="D45" s="82">
        <f>D43+D44</f>
        <v>0.80300000000000005</v>
      </c>
      <c r="E45" s="77">
        <f>E43+E44</f>
        <v>0.96239999999999992</v>
      </c>
      <c r="F45" s="82">
        <f>F43+F44</f>
        <v>0.96766700000000005</v>
      </c>
      <c r="G45" s="77">
        <f>G43+G44</f>
        <v>0.97499999999999998</v>
      </c>
      <c r="H45" s="52">
        <v>0.98219999999999996</v>
      </c>
      <c r="I45" s="85" t="s">
        <v>62</v>
      </c>
    </row>
    <row r="46" spans="2:9" ht="15" customHeight="1">
      <c r="B46" t="s">
        <v>63</v>
      </c>
      <c r="C46" s="80">
        <f>(C42/(1-C45))^0.5</f>
        <v>1.5426603169476529</v>
      </c>
      <c r="D46" s="82">
        <f>(D42/(1-D45))^0.5</f>
        <v>2.3272824613317433</v>
      </c>
      <c r="E46" s="77">
        <f>(E42/(1-E45))^0.5</f>
        <v>1.6020266420075924</v>
      </c>
      <c r="F46" s="82">
        <f>(F42/(1-F45))^0.5</f>
        <v>5.9002313537813649</v>
      </c>
      <c r="G46" s="77">
        <f>(G42/(1-G45))^0.5</f>
        <v>2.1614809737770067</v>
      </c>
      <c r="H46" s="52">
        <v>1.1917</v>
      </c>
      <c r="I46" s="85">
        <v>41204</v>
      </c>
    </row>
    <row r="47" spans="2:9" ht="15" customHeight="1">
      <c r="B47" t="s">
        <v>66</v>
      </c>
      <c r="C47" s="81">
        <f>LN(0.5)/LN(C45)</f>
        <v>163.98395052257675</v>
      </c>
      <c r="D47" s="82">
        <f>LN(0.5)/LN(D45)</f>
        <v>3.1592770987084049</v>
      </c>
      <c r="E47" s="77">
        <f>LN(0.5)/LN(E45)</f>
        <v>18.085978158923798</v>
      </c>
      <c r="F47" s="82">
        <f>LN(0.5)/LN(F45)</f>
        <v>21.089290631230501</v>
      </c>
      <c r="G47" s="77">
        <f>LN(0.5)/LN(G45)</f>
        <v>27.377851233805632</v>
      </c>
      <c r="H47" s="52">
        <v>38.700000000000003</v>
      </c>
      <c r="I47" s="85">
        <v>4948966</v>
      </c>
    </row>
    <row r="48" spans="2:9" ht="15" customHeight="1">
      <c r="B48" t="s">
        <v>69</v>
      </c>
      <c r="C48" s="81">
        <f>C46*252^0.5</f>
        <v>24.488973336549417</v>
      </c>
      <c r="D48" s="82">
        <f>D46*252^0.5</f>
        <v>36.944463739716525</v>
      </c>
      <c r="E48" s="77">
        <f>E46*252^0.5</f>
        <v>25.431384530711949</v>
      </c>
      <c r="F48" s="82">
        <f>F46*252^0.5</f>
        <v>93.663269039108712</v>
      </c>
      <c r="G48" s="77">
        <f>G46*252^0.5</f>
        <v>34.312446721270099</v>
      </c>
      <c r="H48" s="52">
        <v>18.920000000000002</v>
      </c>
      <c r="I48" s="85">
        <v>654098</v>
      </c>
    </row>
    <row r="49" spans="2:9" ht="15" customHeight="1">
      <c r="B49" t="s">
        <v>73</v>
      </c>
      <c r="C49" s="80">
        <f>15/C48</f>
        <v>0.61252057380505742</v>
      </c>
      <c r="D49" s="82">
        <f>15/D48</f>
        <v>0.40601482554135715</v>
      </c>
      <c r="E49" s="77">
        <f>15/E48</f>
        <v>0.58982238980679191</v>
      </c>
      <c r="F49" s="82">
        <f>15/F48</f>
        <v>0.160148157905281</v>
      </c>
      <c r="G49" s="77">
        <f>15/G48</f>
        <v>0.43715914874416639</v>
      </c>
      <c r="H49" s="52">
        <v>0.66500000000000004</v>
      </c>
      <c r="I49" s="85" t="s">
        <v>77</v>
      </c>
    </row>
    <row r="50" spans="2:9" ht="15" customHeight="1">
      <c r="B50" t="s">
        <v>78</v>
      </c>
      <c r="C50" s="80">
        <f>C49*100</f>
        <v>61.25205738050574</v>
      </c>
      <c r="D50" s="82">
        <f>D49*100</f>
        <v>40.601482554135714</v>
      </c>
      <c r="E50" s="77">
        <f>E49*100</f>
        <v>58.982238980679192</v>
      </c>
      <c r="F50" s="82">
        <f>F49*100</f>
        <v>16.0148157905281</v>
      </c>
      <c r="G50" s="77">
        <f>G49*100</f>
        <v>43.71591487441664</v>
      </c>
      <c r="H50" s="52">
        <v>66.5</v>
      </c>
      <c r="I50" s="86">
        <v>229324</v>
      </c>
    </row>
    <row r="51" spans="2:9" ht="15" customHeight="1">
      <c r="C51" s="87"/>
      <c r="D51" s="87"/>
      <c r="E51" s="87"/>
      <c r="F51" s="87"/>
      <c r="G51" s="87"/>
      <c r="H51" s="87"/>
      <c r="I51" s="87"/>
    </row>
    <row r="84" spans="18:25" ht="15" customHeight="1">
      <c r="R84" s="8"/>
      <c r="S84" s="64"/>
      <c r="T84" s="64"/>
      <c r="U84" s="64"/>
      <c r="V84" s="64"/>
      <c r="W84" s="8"/>
      <c r="X84" s="8"/>
      <c r="Y84" s="8"/>
    </row>
    <row r="85" spans="18:25" ht="15" customHeight="1">
      <c r="R85" s="8"/>
      <c r="S85" s="65"/>
      <c r="T85" s="65"/>
      <c r="U85" s="65"/>
      <c r="V85" s="65"/>
      <c r="W85" s="8"/>
      <c r="X85" s="8"/>
      <c r="Y85" s="8"/>
    </row>
    <row r="86" spans="18:25" ht="15" customHeight="1">
      <c r="R86" s="8"/>
      <c r="S86" s="65"/>
      <c r="T86" s="64"/>
      <c r="U86" s="64"/>
      <c r="V86" s="64"/>
      <c r="W86" s="8"/>
      <c r="X86" s="8"/>
      <c r="Y86" s="8"/>
    </row>
    <row r="87" spans="18:25" ht="15" customHeight="1">
      <c r="R87" s="8"/>
      <c r="S87" s="65"/>
      <c r="T87" s="64"/>
      <c r="U87" s="64"/>
      <c r="V87" s="64"/>
      <c r="W87" s="8"/>
      <c r="X87" s="8"/>
      <c r="Y87" s="8"/>
    </row>
    <row r="88" spans="18:25" ht="15" customHeight="1">
      <c r="R88" s="8"/>
      <c r="S88" s="65"/>
      <c r="T88" s="64"/>
      <c r="U88" s="64"/>
      <c r="V88" s="64"/>
      <c r="W88" s="8"/>
      <c r="X88" s="8"/>
      <c r="Y88" s="8"/>
    </row>
    <row r="89" spans="18:25" ht="15" customHeight="1">
      <c r="R89" s="8"/>
      <c r="S89" s="65"/>
      <c r="T89" s="64"/>
      <c r="U89" s="64"/>
      <c r="V89" s="64"/>
      <c r="W89" s="8"/>
      <c r="X89" s="8"/>
      <c r="Y89" s="8"/>
    </row>
    <row r="90" spans="18:25" ht="15" customHeight="1">
      <c r="R90" s="8"/>
      <c r="S90" s="65"/>
      <c r="T90" s="64"/>
      <c r="U90" s="64"/>
      <c r="V90" s="64"/>
      <c r="W90" s="8"/>
      <c r="X90" s="8"/>
      <c r="Y90" s="8"/>
    </row>
    <row r="91" spans="18:25" ht="15" customHeight="1">
      <c r="R91" s="8"/>
      <c r="S91" s="65"/>
      <c r="T91" s="64"/>
      <c r="U91" s="64"/>
      <c r="V91" s="64"/>
      <c r="W91" s="8"/>
      <c r="X91" s="8"/>
      <c r="Y91" s="8"/>
    </row>
    <row r="92" spans="18:25" ht="15" customHeight="1">
      <c r="R92" s="8"/>
      <c r="S92" s="65"/>
      <c r="T92" s="64"/>
      <c r="U92" s="64"/>
      <c r="V92" s="64"/>
      <c r="W92" s="8"/>
      <c r="X92" s="8"/>
      <c r="Y92" s="8"/>
    </row>
    <row r="93" spans="18:25" ht="15" customHeight="1">
      <c r="R93" s="8"/>
      <c r="S93" s="65"/>
      <c r="T93" s="64"/>
      <c r="U93" s="64"/>
      <c r="V93" s="64"/>
      <c r="W93" s="8"/>
      <c r="X93" s="8"/>
      <c r="Y93" s="8"/>
    </row>
    <row r="94" spans="18:25" ht="15" customHeight="1">
      <c r="R94" s="8"/>
      <c r="S94" s="65"/>
      <c r="T94" s="64"/>
      <c r="U94" s="64"/>
      <c r="V94" s="64"/>
      <c r="W94" s="8"/>
      <c r="X94" s="8"/>
      <c r="Y94" s="8"/>
    </row>
    <row r="95" spans="18:25" ht="15" customHeight="1">
      <c r="R95" s="8"/>
      <c r="S95" s="64"/>
      <c r="T95" s="64"/>
      <c r="U95" s="64"/>
      <c r="V95" s="64"/>
      <c r="W95" s="8"/>
      <c r="X95" s="8"/>
      <c r="Y95" s="8"/>
    </row>
    <row r="96" spans="18:25" ht="15" customHeight="1">
      <c r="R96" s="8"/>
      <c r="S96" s="64"/>
      <c r="T96" s="64"/>
      <c r="U96" s="64"/>
      <c r="V96" s="64"/>
      <c r="W96" s="8"/>
      <c r="X96" s="8"/>
      <c r="Y96" s="8"/>
    </row>
  </sheetData>
  <mergeCells count="7">
    <mergeCell ref="AA2:AD2"/>
    <mergeCell ref="G2:J2"/>
    <mergeCell ref="S1:V1"/>
    <mergeCell ref="O2:R2"/>
    <mergeCell ref="D2:F2"/>
    <mergeCell ref="L2:N2"/>
    <mergeCell ref="X2:Z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MAURICIO VARGAS PEREZ</dc:creator>
  <cp:keywords/>
  <dc:description/>
  <cp:lastModifiedBy>Usuario invitado</cp:lastModifiedBy>
  <cp:revision/>
  <dcterms:created xsi:type="dcterms:W3CDTF">2026-09-10T23:03:43Z</dcterms:created>
  <dcterms:modified xsi:type="dcterms:W3CDTF">2026-09-11T01:32:56Z</dcterms:modified>
  <cp:category/>
  <cp:contentStatus/>
</cp:coreProperties>
</file>